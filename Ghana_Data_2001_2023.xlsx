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roject Work\Data\Data\"/>
    </mc:Choice>
  </mc:AlternateContent>
  <bookViews>
    <workbookView minimized="1" xWindow="0" yWindow="0" windowWidth="21600" windowHeight="11025" tabRatio="500"/>
  </bookViews>
  <sheets>
    <sheet name="Ghana Data" sheetId="1" r:id="rId1"/>
  </sheets>
  <calcPr calcId="152511" iterateDelta="1E-4"/>
</workbook>
</file>

<file path=xl/calcChain.xml><?xml version="1.0" encoding="utf-8"?>
<calcChain xmlns="http://schemas.openxmlformats.org/spreadsheetml/2006/main">
  <c r="C33" i="1" l="1"/>
  <c r="B33" i="1"/>
  <c r="C32" i="1"/>
  <c r="B32" i="1"/>
  <c r="C31" i="1"/>
  <c r="B31" i="1"/>
  <c r="C30" i="1"/>
  <c r="B30" i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E20" i="1"/>
  <c r="D20" i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E6" i="1"/>
  <c r="D6" i="1"/>
</calcChain>
</file>

<file path=xl/sharedStrings.xml><?xml version="1.0" encoding="utf-8"?>
<sst xmlns="http://schemas.openxmlformats.org/spreadsheetml/2006/main" count="12" uniqueCount="12">
  <si>
    <t>Year</t>
  </si>
  <si>
    <t>Tax Rate t
(% of GDP)</t>
  </si>
  <si>
    <t>GDP Growth g
(%)</t>
  </si>
  <si>
    <t>t in Decimal
(auto)</t>
  </si>
  <si>
    <t>t squared
(auto)</t>
  </si>
  <si>
    <t>Mean</t>
  </si>
  <si>
    <t>Std Dev</t>
  </si>
  <si>
    <t>Min</t>
  </si>
  <si>
    <t>Max</t>
  </si>
  <si>
    <t>Source: World Bank WDI  |  Tax Indicator: API_GC.TAX.TOTL.GD.ZS_DS2_en_excel_v2_1106  |  Country: Ghana</t>
  </si>
  <si>
    <t>Source: World Bank WDI  |  GDP Indicator: API_NY.GDP.MKTP.KD.ZG_DS2_en_csv_v2_121708 |  Country: Ghana</t>
  </si>
  <si>
    <t>GHANA TAX RATE &amp; GDP GROWTH DATA (2001–2023)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</si>
</sst>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sz val="11"/>
      <color rgb="FF000000"/>
      <name val="Arial"/>
      <charset val="1"/>
    </font>
    <font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9" fillId="0" borderId="0" xfId="1"/>
    <xf numFmtId="0" fontId="8" fillId="6" borderId="0" xfId="0" applyFont="1" applyFill="1" applyBorder="1" applyAlignment="1">
      <alignment horizontal="left" vertical="center" indent="1"/>
    </xf>
    <xf numFmtId="0" fontId="8" fillId="5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indent="1"/>
    </xf>
    <xf numFmtId="0" fontId="8" fillId="4" borderId="0" xfId="0" applyFont="1" applyFill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tabSelected="1" topLeftCell="A11" zoomScaleNormal="100" workbookViewId="0">
      <selection activeCell="B27" sqref="B27"/>
    </sheetView>
  </sheetViews>
  <sheetFormatPr defaultColWidth="8.7109375" defaultRowHeight="15" x14ac:dyDescent="0.25"/>
  <cols>
    <col min="1" max="1" width="10" customWidth="1"/>
    <col min="2" max="2" width="33.85546875" customWidth="1"/>
    <col min="3" max="3" width="29.140625" customWidth="1"/>
    <col min="4" max="4" width="28.85546875" customWidth="1"/>
    <col min="5" max="5" width="62.28515625" customWidth="1"/>
  </cols>
  <sheetData>
    <row r="1" spans="1:5" ht="31.5" customHeight="1" x14ac:dyDescent="0.25">
      <c r="A1" s="21" t="s">
        <v>11</v>
      </c>
      <c r="B1" s="21"/>
      <c r="C1" s="21"/>
      <c r="D1" s="21"/>
      <c r="E1" s="21"/>
    </row>
    <row r="2" spans="1:5" ht="18" customHeight="1" x14ac:dyDescent="0.25">
      <c r="A2" s="22" t="s">
        <v>9</v>
      </c>
      <c r="B2" s="22"/>
      <c r="C2" s="22"/>
      <c r="D2" s="22"/>
      <c r="E2" s="22"/>
    </row>
    <row r="3" spans="1:5" ht="21.75" customHeight="1" x14ac:dyDescent="0.25">
      <c r="A3" s="22" t="s">
        <v>10</v>
      </c>
      <c r="B3" s="22"/>
      <c r="C3" s="22"/>
      <c r="D3" s="22"/>
      <c r="E3" s="22"/>
    </row>
    <row r="4" spans="1:5" ht="36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1.75" customHeight="1" x14ac:dyDescent="0.25">
      <c r="A5" s="2"/>
      <c r="B5" s="3"/>
      <c r="C5" s="3"/>
      <c r="D5" s="4"/>
      <c r="E5" s="5"/>
    </row>
    <row r="6" spans="1:5" ht="21.75" customHeight="1" x14ac:dyDescent="0.25">
      <c r="A6" s="2">
        <v>2001</v>
      </c>
      <c r="B6" s="10">
        <v>17.19292789468016</v>
      </c>
      <c r="C6">
        <v>4.0000001280791899</v>
      </c>
      <c r="D6" s="4">
        <f t="shared" ref="D6:D28" si="0">IF(B6="","",B6/100)</f>
        <v>0.1719292789468016</v>
      </c>
      <c r="E6" s="5">
        <f t="shared" ref="E6:E28" si="1">IF(D6="","",D6^2)</f>
        <v>2.9559676959167117E-2</v>
      </c>
    </row>
    <row r="7" spans="1:5" ht="21.75" customHeight="1" x14ac:dyDescent="0.25">
      <c r="A7" s="2">
        <v>2002</v>
      </c>
      <c r="B7" s="11">
        <v>17.493111211166141</v>
      </c>
      <c r="C7">
        <v>4.4999995590033102</v>
      </c>
      <c r="D7" s="4">
        <f t="shared" si="0"/>
        <v>0.1749311121116614</v>
      </c>
      <c r="E7" s="5">
        <f t="shared" si="1"/>
        <v>3.0600893984622651E-2</v>
      </c>
    </row>
    <row r="8" spans="1:5" ht="21.75" customHeight="1" x14ac:dyDescent="0.25">
      <c r="A8" s="2">
        <v>2003</v>
      </c>
      <c r="B8" s="12">
        <v>18.477686134796102</v>
      </c>
      <c r="C8">
        <v>5.2000001331009997</v>
      </c>
      <c r="D8" s="4">
        <f t="shared" si="0"/>
        <v>0.18477686134796101</v>
      </c>
      <c r="E8" s="5">
        <f t="shared" si="1"/>
        <v>3.4142488489603606E-2</v>
      </c>
    </row>
    <row r="9" spans="1:5" ht="21.75" customHeight="1" x14ac:dyDescent="0.25">
      <c r="A9" s="2">
        <v>2004</v>
      </c>
      <c r="B9" s="13">
        <v>21.752105518845099</v>
      </c>
      <c r="C9">
        <v>5.5999999907744504</v>
      </c>
      <c r="D9" s="4">
        <f t="shared" si="0"/>
        <v>0.217521055188451</v>
      </c>
      <c r="E9" s="5">
        <f t="shared" si="1"/>
        <v>4.7315409450297143E-2</v>
      </c>
    </row>
    <row r="10" spans="1:5" ht="21.75" customHeight="1" x14ac:dyDescent="0.25">
      <c r="A10" s="2">
        <v>2005</v>
      </c>
      <c r="B10" s="14">
        <v>21.321508315786012</v>
      </c>
      <c r="C10">
        <v>5.9000038185510402</v>
      </c>
      <c r="D10" s="4">
        <f t="shared" si="0"/>
        <v>0.21321508315786011</v>
      </c>
      <c r="E10" s="5">
        <f t="shared" si="1"/>
        <v>4.5460671686013206E-2</v>
      </c>
    </row>
    <row r="11" spans="1:5" ht="21.75" customHeight="1" x14ac:dyDescent="0.25">
      <c r="A11" s="2">
        <v>2006</v>
      </c>
      <c r="B11" s="15">
        <v>12.53461852884695</v>
      </c>
      <c r="C11">
        <v>6.3999126061803402</v>
      </c>
      <c r="D11" s="4">
        <f t="shared" si="0"/>
        <v>0.1253461852884695</v>
      </c>
      <c r="E11" s="5">
        <f t="shared" si="1"/>
        <v>1.5711666166371326E-2</v>
      </c>
    </row>
    <row r="12" spans="1:5" ht="21.75" customHeight="1" x14ac:dyDescent="0.25">
      <c r="A12" s="2">
        <v>2007</v>
      </c>
      <c r="B12" s="16">
        <v>13.877984546399166</v>
      </c>
      <c r="C12">
        <v>4.3468191044007902</v>
      </c>
      <c r="D12" s="4">
        <f t="shared" si="0"/>
        <v>0.13877984546399166</v>
      </c>
      <c r="E12" s="5">
        <f t="shared" si="1"/>
        <v>1.9259845507009408E-2</v>
      </c>
    </row>
    <row r="13" spans="1:5" ht="21.75" customHeight="1" x14ac:dyDescent="0.25">
      <c r="A13" s="2">
        <v>2008</v>
      </c>
      <c r="B13" s="17">
        <v>13.895967907455475</v>
      </c>
      <c r="C13">
        <v>9.1497989383181704</v>
      </c>
      <c r="D13" s="4">
        <f t="shared" si="0"/>
        <v>0.13895967907455475</v>
      </c>
      <c r="E13" s="5">
        <f t="shared" si="1"/>
        <v>1.9309792408503251E-2</v>
      </c>
    </row>
    <row r="14" spans="1:5" ht="21.75" customHeight="1" x14ac:dyDescent="0.25">
      <c r="A14" s="2">
        <v>2009</v>
      </c>
      <c r="B14" s="18">
        <v>12.612461522058609</v>
      </c>
      <c r="C14">
        <v>4.8444870517507601</v>
      </c>
      <c r="D14" s="4">
        <f t="shared" si="0"/>
        <v>0.1261246152205861</v>
      </c>
      <c r="E14" s="5">
        <f t="shared" si="1"/>
        <v>1.59074185645409E-2</v>
      </c>
    </row>
    <row r="15" spans="1:5" ht="21.75" customHeight="1" x14ac:dyDescent="0.25">
      <c r="A15" s="2">
        <v>2010</v>
      </c>
      <c r="B15" s="9">
        <v>13.3883874032931</v>
      </c>
      <c r="C15">
        <v>7.8997119405162097</v>
      </c>
      <c r="D15" s="4">
        <f t="shared" si="0"/>
        <v>0.13388387403293101</v>
      </c>
      <c r="E15" s="5">
        <f t="shared" si="1"/>
        <v>1.7924891726065737E-2</v>
      </c>
    </row>
    <row r="16" spans="1:5" ht="21.75" customHeight="1" x14ac:dyDescent="0.25">
      <c r="A16" s="2">
        <v>2011</v>
      </c>
      <c r="B16" s="9">
        <v>14.865790361573374</v>
      </c>
      <c r="C16">
        <v>14.047123580314899</v>
      </c>
      <c r="D16" s="4">
        <f t="shared" si="0"/>
        <v>0.14865790361573375</v>
      </c>
      <c r="E16" s="5">
        <f t="shared" si="1"/>
        <v>2.2099172307424784E-2</v>
      </c>
    </row>
    <row r="17" spans="1:5" ht="21.75" customHeight="1" x14ac:dyDescent="0.25">
      <c r="A17" s="2">
        <v>2012</v>
      </c>
      <c r="B17" s="9">
        <v>15.368181010655075</v>
      </c>
      <c r="C17">
        <v>9.2927894063004999</v>
      </c>
      <c r="D17" s="4">
        <f t="shared" si="0"/>
        <v>0.15368181010655074</v>
      </c>
      <c r="E17" s="5">
        <f t="shared" si="1"/>
        <v>2.3618098757625921E-2</v>
      </c>
    </row>
    <row r="18" spans="1:5" ht="21.75" customHeight="1" x14ac:dyDescent="0.25">
      <c r="A18" s="2">
        <v>2013</v>
      </c>
      <c r="B18" s="9">
        <v>10.671836497112</v>
      </c>
      <c r="C18">
        <v>7.3125250167814499</v>
      </c>
      <c r="D18" s="4">
        <f t="shared" si="0"/>
        <v>0.10671836497112</v>
      </c>
      <c r="E18" s="5">
        <f t="shared" si="1"/>
        <v>1.1388809422109172E-2</v>
      </c>
    </row>
    <row r="19" spans="1:5" ht="21.75" customHeight="1" x14ac:dyDescent="0.25">
      <c r="A19" s="2">
        <v>2014</v>
      </c>
      <c r="B19" s="9">
        <v>11.252185979349299</v>
      </c>
      <c r="C19">
        <v>2.8562401633088301</v>
      </c>
      <c r="D19" s="4">
        <f t="shared" si="0"/>
        <v>0.112521859793493</v>
      </c>
      <c r="E19" s="5">
        <f t="shared" si="1"/>
        <v>1.2661168931386496E-2</v>
      </c>
    </row>
    <row r="20" spans="1:5" ht="21.75" customHeight="1" x14ac:dyDescent="0.25">
      <c r="A20" s="2">
        <v>2015</v>
      </c>
      <c r="B20" s="9">
        <v>11.690563209965484</v>
      </c>
      <c r="C20">
        <v>2.1207593381733401</v>
      </c>
      <c r="D20" s="4">
        <f t="shared" si="0"/>
        <v>0.11690563209965484</v>
      </c>
      <c r="E20" s="5">
        <f t="shared" si="1"/>
        <v>1.3666926816619848E-2</v>
      </c>
    </row>
    <row r="21" spans="1:5" ht="21.75" customHeight="1" x14ac:dyDescent="0.25">
      <c r="A21" s="2">
        <v>2016</v>
      </c>
      <c r="B21" s="9">
        <v>11.058329192093996</v>
      </c>
      <c r="C21">
        <v>3.3734657496693599</v>
      </c>
      <c r="D21" s="4">
        <f t="shared" si="0"/>
        <v>0.11058329192093996</v>
      </c>
      <c r="E21" s="5">
        <f t="shared" si="1"/>
        <v>1.2228664452071826E-2</v>
      </c>
    </row>
    <row r="22" spans="1:5" ht="21.75" customHeight="1" x14ac:dyDescent="0.25">
      <c r="A22" s="2">
        <v>2017</v>
      </c>
      <c r="B22" s="9">
        <v>11.577031275433489</v>
      </c>
      <c r="C22">
        <v>8.1288948810095594</v>
      </c>
      <c r="D22" s="4">
        <f t="shared" si="0"/>
        <v>0.11577031275433489</v>
      </c>
      <c r="E22" s="5">
        <f t="shared" si="1"/>
        <v>1.3402765315236514E-2</v>
      </c>
    </row>
    <row r="23" spans="1:5" ht="21.75" customHeight="1" x14ac:dyDescent="0.25">
      <c r="A23" s="2">
        <v>2018</v>
      </c>
      <c r="B23" s="9">
        <v>12.244241507482997</v>
      </c>
      <c r="C23">
        <v>6.2000776812728402</v>
      </c>
      <c r="D23" s="4">
        <f t="shared" si="0"/>
        <v>0.12244241507482996</v>
      </c>
      <c r="E23" s="5">
        <f t="shared" si="1"/>
        <v>1.4992145009356948E-2</v>
      </c>
    </row>
    <row r="24" spans="1:5" ht="21.75" customHeight="1" x14ac:dyDescent="0.25">
      <c r="A24" s="2">
        <v>2019</v>
      </c>
      <c r="B24" s="9">
        <v>11.996995905713705</v>
      </c>
      <c r="C24">
        <v>6.5077747939151998</v>
      </c>
      <c r="D24" s="4">
        <f t="shared" si="0"/>
        <v>0.11996995905713705</v>
      </c>
      <c r="E24" s="5">
        <f t="shared" si="1"/>
        <v>1.4392791076171139E-2</v>
      </c>
    </row>
    <row r="25" spans="1:5" ht="21.75" customHeight="1" x14ac:dyDescent="0.25">
      <c r="A25" s="2">
        <v>2020</v>
      </c>
      <c r="B25" s="9">
        <v>11.340431962926125</v>
      </c>
      <c r="C25">
        <v>0.51394167062817098</v>
      </c>
      <c r="D25" s="4">
        <f t="shared" si="0"/>
        <v>0.11340431962926126</v>
      </c>
      <c r="E25" s="5">
        <f t="shared" si="1"/>
        <v>1.2860539710575649E-2</v>
      </c>
    </row>
    <row r="26" spans="1:5" ht="21.75" customHeight="1" x14ac:dyDescent="0.25">
      <c r="A26" s="2">
        <v>2021</v>
      </c>
      <c r="B26" s="9">
        <v>12.244686725334541</v>
      </c>
      <c r="C26">
        <v>5.0764664353354201</v>
      </c>
      <c r="D26" s="4">
        <f t="shared" si="0"/>
        <v>0.1224468672533454</v>
      </c>
      <c r="E26" s="5">
        <f t="shared" si="1"/>
        <v>1.499323530015839E-2</v>
      </c>
    </row>
    <row r="27" spans="1:5" ht="21.75" customHeight="1" x14ac:dyDescent="0.25">
      <c r="A27" s="2">
        <v>2022</v>
      </c>
      <c r="B27" s="9">
        <v>12.297535806285326</v>
      </c>
      <c r="C27">
        <v>3.8048498095216399</v>
      </c>
      <c r="D27" s="4">
        <f t="shared" si="0"/>
        <v>0.12297535806285326</v>
      </c>
      <c r="E27" s="5">
        <f t="shared" si="1"/>
        <v>1.5122938690686968E-2</v>
      </c>
    </row>
    <row r="28" spans="1:5" ht="21.75" customHeight="1" x14ac:dyDescent="0.25">
      <c r="A28" s="2">
        <v>2023</v>
      </c>
      <c r="B28" s="9">
        <v>12.393098456728813</v>
      </c>
      <c r="C28">
        <v>3.14009099763754</v>
      </c>
      <c r="D28" s="4">
        <f t="shared" si="0"/>
        <v>0.12393098456728813</v>
      </c>
      <c r="E28" s="5">
        <f t="shared" si="1"/>
        <v>1.5358888935817407E-2</v>
      </c>
    </row>
    <row r="30" spans="1:5" ht="21.75" customHeight="1" x14ac:dyDescent="0.25">
      <c r="A30" s="6" t="s">
        <v>5</v>
      </c>
      <c r="B30" s="7">
        <f>IF(COUNTA(B5:B28)=0,"",AVERAGE(B5:B28))</f>
        <v>13.980333342347</v>
      </c>
      <c r="C30" s="7">
        <f>IF(COUNTA(C5:C28)=0,"",AVERAGE(C5:C28))</f>
        <v>5.6615535997627831</v>
      </c>
      <c r="D30" s="8"/>
      <c r="E30" s="8"/>
    </row>
    <row r="31" spans="1:5" ht="21.75" customHeight="1" x14ac:dyDescent="0.25">
      <c r="A31" s="6" t="s">
        <v>6</v>
      </c>
      <c r="B31" s="7">
        <f>IF(COUNTA(B5:B28)=0,"",STDEV(B5:B28))</f>
        <v>3.1940671445250026</v>
      </c>
      <c r="C31" s="7">
        <f>IF(COUNTA(C5:C28)=0,"",STDEV(C5:C28))</f>
        <v>2.8612862707576623</v>
      </c>
      <c r="D31" s="8"/>
      <c r="E31" s="8"/>
    </row>
    <row r="32" spans="1:5" ht="21.75" customHeight="1" x14ac:dyDescent="0.25">
      <c r="A32" s="6" t="s">
        <v>7</v>
      </c>
      <c r="B32" s="7">
        <f>IF(COUNTA(B5:B28)=0,"",MIN(B5:B28))</f>
        <v>10.671836497112</v>
      </c>
      <c r="C32" s="7">
        <f>IF(COUNTA(C5:C28)=0,"",MIN(C5:C28))</f>
        <v>0.51394167062817098</v>
      </c>
      <c r="D32" s="8"/>
      <c r="E32" s="8"/>
    </row>
    <row r="33" spans="1:5" ht="21.75" customHeight="1" x14ac:dyDescent="0.25">
      <c r="A33" s="6" t="s">
        <v>8</v>
      </c>
      <c r="B33" s="7">
        <f>IF(COUNTA(B5:B28)=0,"",MAX(B5:B28))</f>
        <v>21.752105518845099</v>
      </c>
      <c r="C33" s="7">
        <f>IF(COUNTA(C5:C28)=0,"",MAX(C5:C28))</f>
        <v>14.047123580314899</v>
      </c>
      <c r="D33" s="8"/>
      <c r="E33" s="8"/>
    </row>
    <row r="36" spans="1:5" ht="18" customHeight="1" x14ac:dyDescent="0.25">
      <c r="A36" s="23"/>
      <c r="B36" s="23"/>
      <c r="C36" s="23"/>
      <c r="D36" s="23"/>
      <c r="E36" s="23"/>
    </row>
    <row r="37" spans="1:5" ht="18" customHeight="1" x14ac:dyDescent="0.25">
      <c r="A37" s="24"/>
      <c r="B37" s="24"/>
      <c r="C37" s="24"/>
      <c r="D37" s="24"/>
      <c r="E37" s="24"/>
    </row>
    <row r="38" spans="1:5" ht="18" customHeight="1" x14ac:dyDescent="0.25">
      <c r="A38" s="19"/>
      <c r="B38" s="19"/>
      <c r="C38" s="19"/>
      <c r="D38" s="19"/>
      <c r="E38" s="19"/>
    </row>
    <row r="39" spans="1:5" ht="18" customHeight="1" x14ac:dyDescent="0.25">
      <c r="A39" s="20"/>
      <c r="B39" s="20"/>
      <c r="C39" s="20"/>
      <c r="D39" s="20"/>
      <c r="E39" s="20"/>
    </row>
  </sheetData>
  <mergeCells count="7">
    <mergeCell ref="A38:E38"/>
    <mergeCell ref="A39:E39"/>
    <mergeCell ref="A1:E1"/>
    <mergeCell ref="A2:E2"/>
    <mergeCell ref="A3:E3"/>
    <mergeCell ref="A36:E36"/>
    <mergeCell ref="A37:E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2026-05-11T10:24:24Z</dcterms:created>
  <dcterms:modified xsi:type="dcterms:W3CDTF">2026-06-21T11:30:08Z</dcterms:modified>
  <dc:language>en-US</dc:language>
</cp:coreProperties>
</file>